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akshmi s\Downloads\"/>
    </mc:Choice>
  </mc:AlternateContent>
  <xr:revisionPtr revIDLastSave="0" documentId="13_ncr:1_{48CE6A04-0033-4D3F-80CA-88CF5D6B42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statements-Comply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H108" i="1"/>
  <c r="I108" i="1"/>
  <c r="G108" i="1"/>
  <c r="F108" i="1" s="1"/>
  <c r="H106" i="1"/>
  <c r="I106" i="1"/>
  <c r="G106" i="1"/>
  <c r="F106" i="1" s="1"/>
  <c r="I100" i="1"/>
  <c r="H100" i="1"/>
  <c r="I98" i="1"/>
  <c r="H98" i="1"/>
  <c r="F98" i="1" s="1"/>
  <c r="H104" i="1"/>
  <c r="I104" i="1"/>
  <c r="G104" i="1"/>
  <c r="F104" i="1" s="1"/>
  <c r="H102" i="1"/>
  <c r="I102" i="1"/>
  <c r="G102" i="1"/>
  <c r="F102" i="1" s="1"/>
  <c r="E88" i="1"/>
  <c r="H112" i="1"/>
  <c r="I112" i="1"/>
  <c r="G112" i="1"/>
  <c r="F112" i="1" s="1"/>
  <c r="H110" i="1"/>
  <c r="I110" i="1"/>
  <c r="G110" i="1"/>
  <c r="F110" i="1" s="1"/>
  <c r="I60" i="1"/>
  <c r="H60" i="1"/>
  <c r="I67" i="1"/>
  <c r="H67" i="1"/>
  <c r="G60" i="1"/>
  <c r="G67" i="1"/>
  <c r="G64" i="1"/>
  <c r="G65" i="1" s="1"/>
  <c r="I61" i="1"/>
  <c r="H61" i="1"/>
  <c r="H59" i="1"/>
  <c r="H37" i="1" s="1"/>
  <c r="I59" i="1"/>
  <c r="I37" i="1" s="1"/>
  <c r="I39" i="1" s="1"/>
  <c r="G59" i="1"/>
  <c r="G37" i="1" s="1"/>
  <c r="H45" i="1"/>
  <c r="I45" i="1"/>
  <c r="G45" i="1"/>
  <c r="F100" i="1" l="1"/>
  <c r="H92" i="1"/>
  <c r="H20" i="1" s="1"/>
  <c r="H7" i="1" s="1"/>
  <c r="O13" i="1" s="1"/>
  <c r="F93" i="1"/>
  <c r="I93" i="1"/>
  <c r="I21" i="1" s="1"/>
  <c r="G94" i="1"/>
  <c r="G22" i="1" s="1"/>
  <c r="G10" i="1" s="1"/>
  <c r="I94" i="1"/>
  <c r="I22" i="1" s="1"/>
  <c r="G95" i="1"/>
  <c r="G23" i="1" s="1"/>
  <c r="G11" i="1" s="1"/>
  <c r="G92" i="1"/>
  <c r="G20" i="1" s="1"/>
  <c r="I92" i="1"/>
  <c r="I20" i="1" s="1"/>
  <c r="G93" i="1"/>
  <c r="G21" i="1" s="1"/>
  <c r="G8" i="1" s="1"/>
  <c r="G9" i="1" s="1"/>
  <c r="H93" i="1"/>
  <c r="H21" i="1" s="1"/>
  <c r="F94" i="1"/>
  <c r="H94" i="1"/>
  <c r="H22" i="1" s="1"/>
  <c r="F95" i="1"/>
  <c r="H95" i="1"/>
  <c r="H23" i="1" s="1"/>
  <c r="I95" i="1"/>
  <c r="I23" i="1" s="1"/>
  <c r="F92" i="1"/>
  <c r="E81" i="1"/>
  <c r="E77" i="1"/>
  <c r="E78" i="1"/>
  <c r="E80" i="1"/>
  <c r="F76" i="1"/>
  <c r="G76" i="1"/>
  <c r="J76" i="1"/>
  <c r="I76" i="1"/>
  <c r="I64" i="1"/>
  <c r="I65" i="1" s="1"/>
  <c r="H39" i="1"/>
  <c r="H64" i="1"/>
  <c r="H65" i="1" s="1"/>
  <c r="G39" i="1"/>
  <c r="G12" i="1" l="1"/>
  <c r="G14" i="1" s="1"/>
  <c r="G15" i="1" s="1"/>
  <c r="G16" i="1" s="1"/>
  <c r="H11" i="1"/>
  <c r="H10" i="1"/>
  <c r="I7" i="1"/>
  <c r="P13" i="1" s="1"/>
  <c r="H8" i="1"/>
  <c r="H9" i="1" s="1"/>
  <c r="I8" i="1" l="1"/>
  <c r="I9" i="1" s="1"/>
  <c r="H12" i="1"/>
  <c r="H14" i="1" s="1"/>
  <c r="H15" i="1" s="1"/>
  <c r="H16" i="1" s="1"/>
  <c r="G48" i="1"/>
  <c r="G58" i="1"/>
  <c r="G62" i="1" s="1"/>
  <c r="I10" i="1"/>
  <c r="I11" i="1"/>
  <c r="G47" i="1" l="1"/>
  <c r="H48" i="1"/>
  <c r="I12" i="1"/>
  <c r="I14" i="1" s="1"/>
  <c r="I15" i="1" s="1"/>
  <c r="I16" i="1" s="1"/>
  <c r="I48" i="1" l="1"/>
  <c r="I47" i="1" s="1"/>
  <c r="G68" i="1"/>
  <c r="G69" i="1" s="1"/>
  <c r="G71" i="1" s="1"/>
  <c r="G49" i="1"/>
  <c r="G51" i="1" s="1"/>
  <c r="H47" i="1"/>
  <c r="H58" i="1"/>
  <c r="H62" i="1" s="1"/>
  <c r="E76" i="1"/>
  <c r="H49" i="1" l="1"/>
  <c r="H51" i="1" s="1"/>
  <c r="H68" i="1"/>
  <c r="H69" i="1" s="1"/>
  <c r="H71" i="1" s="1"/>
  <c r="I58" i="1"/>
  <c r="I62" i="1" s="1"/>
  <c r="I68" i="1" l="1"/>
  <c r="I69" i="1" s="1"/>
  <c r="I71" i="1" s="1"/>
  <c r="I49" i="1"/>
  <c r="I51" i="1" s="1"/>
</calcChain>
</file>

<file path=xl/sharedStrings.xml><?xml version="1.0" encoding="utf-8"?>
<sst xmlns="http://schemas.openxmlformats.org/spreadsheetml/2006/main" count="100" uniqueCount="67">
  <si>
    <t>2026P</t>
  </si>
  <si>
    <t>2027P</t>
  </si>
  <si>
    <t>2028P</t>
  </si>
  <si>
    <t>Fiscal Year</t>
  </si>
  <si>
    <t>Complynt - Financial Statements Forecasting and Modelling</t>
  </si>
  <si>
    <t>INCOME STATEMENT</t>
  </si>
  <si>
    <r>
      <t>(</t>
    </r>
    <r>
      <rPr>
        <i/>
        <sz val="11"/>
        <color theme="1"/>
        <rFont val="Calibri"/>
        <family val="2"/>
        <scheme val="minor"/>
      </rPr>
      <t>in thousands)</t>
    </r>
  </si>
  <si>
    <t xml:space="preserve">Revenue </t>
  </si>
  <si>
    <t>Cost of Sales</t>
  </si>
  <si>
    <t>Gross Profit</t>
  </si>
  <si>
    <t>Product R&amp;D expenses</t>
  </si>
  <si>
    <t>SG&amp;A expenses</t>
  </si>
  <si>
    <t>Operating profit/EBIT</t>
  </si>
  <si>
    <t>Interest expenses</t>
  </si>
  <si>
    <t>Tax expenses</t>
  </si>
  <si>
    <t>Net income</t>
  </si>
  <si>
    <t>Growth rates and margins:</t>
  </si>
  <si>
    <t>Revene growth</t>
  </si>
  <si>
    <t>Gross Profit Margin</t>
  </si>
  <si>
    <t>R&amp;D as % of sales</t>
  </si>
  <si>
    <t>SG&amp;A as % of sales</t>
  </si>
  <si>
    <t>Tax rate</t>
  </si>
  <si>
    <t>BALANCE SHEET</t>
  </si>
  <si>
    <t>Fiscal year</t>
  </si>
  <si>
    <t>Cash and cash equivalents</t>
  </si>
  <si>
    <t>Accounts receivable</t>
  </si>
  <si>
    <t>Other current assets</t>
  </si>
  <si>
    <t>Property, Plant &amp; Equipment</t>
  </si>
  <si>
    <t>Other non-current assets</t>
  </si>
  <si>
    <t>Total Assets</t>
  </si>
  <si>
    <t>Accounts payable</t>
  </si>
  <si>
    <t>Other current liabilites</t>
  </si>
  <si>
    <t>Long term debt</t>
  </si>
  <si>
    <t>Other non-current liabilites</t>
  </si>
  <si>
    <t>Total liabilites</t>
  </si>
  <si>
    <t>Common stock</t>
  </si>
  <si>
    <t>Retained earnings</t>
  </si>
  <si>
    <t>Total equity</t>
  </si>
  <si>
    <t>Total liabilites and equity</t>
  </si>
  <si>
    <t>CASH FLOW STATEMENT</t>
  </si>
  <si>
    <t>Depreciation and amortization</t>
  </si>
  <si>
    <t>Change in Working Capital</t>
  </si>
  <si>
    <t>Change in non-current assets &amp; liabilities</t>
  </si>
  <si>
    <t>Cash from operating activities</t>
  </si>
  <si>
    <t>Capital expenditures</t>
  </si>
  <si>
    <t>Cash from investing activities</t>
  </si>
  <si>
    <t>Share issuance</t>
  </si>
  <si>
    <t>Cash from financing activities</t>
  </si>
  <si>
    <t>Net change in cash during the period</t>
  </si>
  <si>
    <t>Scenarios</t>
  </si>
  <si>
    <t>SENSITIVITY ANALYSIS</t>
  </si>
  <si>
    <t xml:space="preserve">Gross </t>
  </si>
  <si>
    <t>profit</t>
  </si>
  <si>
    <t>Margin</t>
  </si>
  <si>
    <t>Revenue growth rate</t>
  </si>
  <si>
    <t>SCENARIO ANALYSIS</t>
  </si>
  <si>
    <t>Active case</t>
  </si>
  <si>
    <t>Variance from base case</t>
  </si>
  <si>
    <t>*</t>
  </si>
  <si>
    <t>Best case</t>
  </si>
  <si>
    <t>Base case</t>
  </si>
  <si>
    <t>Weak case</t>
  </si>
  <si>
    <t>Pre tax Profit/Loss</t>
  </si>
  <si>
    <t>Net income/Loss</t>
  </si>
  <si>
    <t>Accummulated depreciation</t>
  </si>
  <si>
    <t>(toggle to switch  the scenario)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</si>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</sst>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164" formatCode="#,##0.00;\(###0.00\)"/>
    <numFmt numFmtId="165" formatCode="#,##0.00;\(#,##0.00\)"/>
    <numFmt numFmtId="166" formatCode="0.0%"/>
    <numFmt numFmtId="167" formatCode="#,##0.0"/>
    <numFmt numFmtId="168" formatCode="#,##0.0000"/>
    <numFmt numFmtId="169" formatCode="#,##0.0000000000000"/>
    <numFmt numFmtId="170" formatCode="#,##0.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D0EE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0" fillId="0" borderId="3" xfId="0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 wrapText="1"/>
    </xf>
    <xf numFmtId="9" fontId="6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5" fontId="6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2" xfId="0" applyNumberFormat="1" applyBorder="1" applyAlignment="1">
      <alignment horizontal="left"/>
    </xf>
    <xf numFmtId="165" fontId="7" fillId="0" borderId="0" xfId="0" applyNumberFormat="1" applyFont="1" applyAlignment="1">
      <alignment horizontal="left"/>
    </xf>
    <xf numFmtId="9" fontId="6" fillId="0" borderId="7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10" fontId="0" fillId="0" borderId="3" xfId="0" applyNumberFormat="1" applyBorder="1" applyAlignment="1">
      <alignment horizontal="left"/>
    </xf>
    <xf numFmtId="166" fontId="0" fillId="0" borderId="5" xfId="0" applyNumberFormat="1" applyBorder="1" applyAlignment="1">
      <alignment horizontal="left"/>
    </xf>
    <xf numFmtId="166" fontId="0" fillId="0" borderId="4" xfId="0" applyNumberFormat="1" applyBorder="1" applyAlignment="1">
      <alignment horizontal="left"/>
    </xf>
    <xf numFmtId="10" fontId="0" fillId="0" borderId="7" xfId="0" applyNumberFormat="1" applyBorder="1" applyAlignment="1">
      <alignment horizontal="left"/>
    </xf>
    <xf numFmtId="10" fontId="0" fillId="0" borderId="6" xfId="0" applyNumberFormat="1" applyBorder="1" applyAlignment="1">
      <alignment horizontal="left"/>
    </xf>
    <xf numFmtId="10" fontId="0" fillId="0" borderId="8" xfId="0" applyNumberFormat="1" applyBorder="1" applyAlignment="1">
      <alignment horizontal="left"/>
    </xf>
    <xf numFmtId="10" fontId="0" fillId="0" borderId="0" xfId="0" applyNumberFormat="1" applyAlignment="1">
      <alignment horizontal="left"/>
    </xf>
    <xf numFmtId="10" fontId="6" fillId="0" borderId="0" xfId="0" applyNumberFormat="1" applyFont="1" applyAlignment="1">
      <alignment horizontal="left"/>
    </xf>
    <xf numFmtId="10" fontId="0" fillId="2" borderId="0" xfId="1" applyNumberFormat="1" applyFont="1" applyFill="1" applyAlignment="1">
      <alignment horizontal="left"/>
    </xf>
    <xf numFmtId="10" fontId="7" fillId="0" borderId="0" xfId="0" applyNumberFormat="1" applyFont="1" applyAlignment="1">
      <alignment horizontal="left"/>
    </xf>
    <xf numFmtId="10" fontId="6" fillId="0" borderId="10" xfId="0" applyNumberFormat="1" applyFont="1" applyBorder="1" applyAlignment="1">
      <alignment horizontal="left"/>
    </xf>
    <xf numFmtId="10" fontId="6" fillId="0" borderId="11" xfId="0" applyNumberFormat="1" applyFont="1" applyBorder="1" applyAlignment="1">
      <alignment horizontal="left"/>
    </xf>
    <xf numFmtId="10" fontId="6" fillId="0" borderId="12" xfId="0" applyNumberFormat="1" applyFont="1" applyBorder="1" applyAlignment="1">
      <alignment horizontal="left"/>
    </xf>
    <xf numFmtId="10" fontId="6" fillId="0" borderId="13" xfId="0" applyNumberFormat="1" applyFont="1" applyBorder="1" applyAlignment="1">
      <alignment horizontal="left"/>
    </xf>
    <xf numFmtId="10" fontId="6" fillId="0" borderId="14" xfId="0" applyNumberFormat="1" applyFont="1" applyBorder="1" applyAlignment="1">
      <alignment horizontal="left"/>
    </xf>
    <xf numFmtId="10" fontId="6" fillId="0" borderId="15" xfId="0" applyNumberFormat="1" applyFont="1" applyBorder="1" applyAlignment="1">
      <alignment horizontal="left"/>
    </xf>
    <xf numFmtId="10" fontId="6" fillId="0" borderId="1" xfId="0" applyNumberFormat="1" applyFont="1" applyBorder="1" applyAlignment="1">
      <alignment horizontal="left"/>
    </xf>
    <xf numFmtId="10" fontId="6" fillId="0" borderId="16" xfId="0" applyNumberFormat="1" applyFont="1" applyBorder="1" applyAlignment="1">
      <alignment horizontal="left"/>
    </xf>
    <xf numFmtId="44" fontId="0" fillId="0" borderId="0" xfId="2" applyFont="1" applyAlignment="1">
      <alignment horizontal="left"/>
    </xf>
    <xf numFmtId="44" fontId="6" fillId="0" borderId="0" xfId="2" applyFont="1" applyAlignment="1">
      <alignment horizontal="left"/>
    </xf>
    <xf numFmtId="44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D0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statements-Complynt'!$M$13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515047D-1347-4DDE-B93D-EEE728A225DD}" type="VALUE">
                      <a:rPr lang="en-US" sz="1100" b="1"/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F9A-4E27-A93E-F4A35890D8C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0C80143-FBDB-4026-B6D7-9798A82FF919}" type="VALUE">
                      <a:rPr lang="en-US" sz="1100" b="1"/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F9A-4E27-A93E-F4A35890D8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4FED94A-1EA7-45E7-9BE5-B2B86CB1F2A4}" type="VALUE">
                      <a:rPr lang="en-US" sz="1100" b="1"/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F9A-4E27-A93E-F4A35890D8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'Financial statements-Complynt'!$N$13:$P$13</c:f>
              <c:numCache>
                <c:formatCode>_("$"* #,##0.00_);_("$"* \(#,##0.00\);_("$"* "-"??_);_(@_)</c:formatCode>
                <c:ptCount val="3"/>
                <c:pt idx="0">
                  <c:v>220</c:v>
                </c:pt>
                <c:pt idx="1">
                  <c:v>660</c:v>
                </c:pt>
                <c:pt idx="2">
                  <c:v>1320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A-4E27-A93E-F4A35890D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252191"/>
        <c:axId val="398268991"/>
      </c:barChart>
      <c:catAx>
        <c:axId val="398252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68991"/>
        <c:crosses val="autoZero"/>
        <c:auto val="1"/>
        <c:lblAlgn val="ctr"/>
        <c:lblOffset val="100"/>
        <c:noMultiLvlLbl val="0"/>
      </c:catAx>
      <c:valAx>
        <c:axId val="398268991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Revenue (in thousand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low"/>
        <c:crossAx val="39825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347050</xdr:colOff>
      <xdr:row>3</xdr:row>
      <xdr:rowOff>45267</xdr:rowOff>
    </xdr:from>
    <xdr:to>
      <xdr:col>13</xdr:col>
      <xdr:colOff>294238</xdr:colOff>
      <xdr:row>3</xdr:row>
      <xdr:rowOff>158436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967A1A4D-2CCE-23D4-E9BE-77FAB68EC60C}"/>
            </a:ext>
          </a:extLst>
        </xdr:cNvPr>
        <xdr:cNvSpPr/>
      </xdr:nvSpPr>
      <xdr:spPr>
        <a:xfrm>
          <a:off x="8299010" y="731821"/>
          <a:ext cx="558297" cy="11316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494169</xdr:colOff>
      <xdr:row>13</xdr:row>
      <xdr:rowOff>175033</xdr:rowOff>
    </xdr:from>
    <xdr:to>
      <xdr:col>17</xdr:col>
      <xdr:colOff>313099</xdr:colOff>
      <xdr:row>29</xdr:row>
      <xdr:rowOff>6035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D958D9-5248-035D-A743-4FF3C673D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"/>
  <sheetViews>
    <sheetView tabSelected="1" zoomScale="101" workbookViewId="0">
      <selection activeCell="Q9" sqref="Q9"/>
    </sheetView>
  </sheetViews>
  <sheetFormatPr defaultRowHeight="14.4" x14ac:dyDescent="0.3"/>
  <cols>
    <col min="1" max="1" width="1.6640625" style="1" customWidth="1"/>
    <col min="2" max="4" width="8.88671875" style="1"/>
    <col min="5" max="5" width="10.5546875" style="1" customWidth="1"/>
    <col min="6" max="6" width="11.33203125" style="1" customWidth="1"/>
    <col min="7" max="7" width="14.33203125" style="1" customWidth="1"/>
    <col min="8" max="8" width="15" style="1" customWidth="1"/>
    <col min="9" max="9" width="15.44140625" style="1" customWidth="1"/>
    <col min="10" max="11" width="8.88671875" style="1"/>
    <col min="12" max="12" width="10.5546875" style="1" customWidth="1"/>
    <col min="13" max="13" width="8.88671875" style="1"/>
    <col min="14" max="14" width="10.88671875" style="1" customWidth="1"/>
    <col min="15" max="15" width="13.44140625" style="1" customWidth="1"/>
    <col min="16" max="16" width="10.88671875" style="1" customWidth="1"/>
    <col min="17" max="16384" width="8.88671875" style="1"/>
  </cols>
  <sheetData>
    <row r="1" spans="1:16" ht="25.8" x14ac:dyDescent="0.5">
      <c r="B1" s="2" t="s">
        <v>4</v>
      </c>
    </row>
    <row r="3" spans="1:16" x14ac:dyDescent="0.3">
      <c r="A3" s="1" t="s">
        <v>58</v>
      </c>
      <c r="B3" s="3" t="s">
        <v>5</v>
      </c>
      <c r="I3" s="1" t="s">
        <v>6</v>
      </c>
      <c r="L3" s="3" t="s">
        <v>49</v>
      </c>
    </row>
    <row r="4" spans="1:16" x14ac:dyDescent="0.3">
      <c r="L4" s="4" t="s">
        <v>60</v>
      </c>
      <c r="O4" s="1" t="s">
        <v>65</v>
      </c>
    </row>
    <row r="5" spans="1:16" x14ac:dyDescent="0.3">
      <c r="B5" s="5" t="s">
        <v>3</v>
      </c>
      <c r="C5" s="5"/>
      <c r="D5" s="5"/>
      <c r="E5" s="5"/>
      <c r="F5" s="5"/>
      <c r="G5" s="5" t="s">
        <v>0</v>
      </c>
      <c r="H5" s="5" t="s">
        <v>1</v>
      </c>
      <c r="I5" s="5" t="s">
        <v>2</v>
      </c>
    </row>
    <row r="7" spans="1:16" x14ac:dyDescent="0.3">
      <c r="B7" s="37" t="s">
        <v>7</v>
      </c>
      <c r="C7" s="37"/>
      <c r="D7" s="37"/>
      <c r="E7" s="37"/>
      <c r="F7" s="37"/>
      <c r="G7" s="38">
        <v>220</v>
      </c>
      <c r="H7" s="37">
        <f ca="1">G7*(1+H20)</f>
        <v>660</v>
      </c>
      <c r="I7" s="37">
        <f ca="1">H7*(1+I20)</f>
        <v>1320</v>
      </c>
    </row>
    <row r="8" spans="1:16" x14ac:dyDescent="0.3">
      <c r="B8" s="1" t="s">
        <v>8</v>
      </c>
      <c r="G8" s="12">
        <f ca="1">-G7*(1-G21)</f>
        <v>-98.999999999999986</v>
      </c>
      <c r="H8" s="12">
        <f ca="1">-H7*(1-H21)</f>
        <v>-283.8</v>
      </c>
      <c r="I8" s="12">
        <f ca="1">-I7*(1-I21)</f>
        <v>-534.6</v>
      </c>
    </row>
    <row r="9" spans="1:16" x14ac:dyDescent="0.3">
      <c r="B9" s="3" t="s">
        <v>9</v>
      </c>
      <c r="G9" s="12">
        <f ca="1">SUM(G7:G8)</f>
        <v>121.00000000000001</v>
      </c>
      <c r="H9" s="12">
        <f t="shared" ref="H9:I9" ca="1" si="0">SUM(H7:H8)</f>
        <v>376.2</v>
      </c>
      <c r="I9" s="12">
        <f t="shared" ca="1" si="0"/>
        <v>785.4</v>
      </c>
    </row>
    <row r="10" spans="1:16" x14ac:dyDescent="0.3">
      <c r="B10" s="1" t="s">
        <v>10</v>
      </c>
      <c r="G10" s="12">
        <f ca="1">-G7*G22</f>
        <v>-88</v>
      </c>
      <c r="H10" s="12">
        <f t="shared" ref="H10:I10" ca="1" si="1">-H7*H22</f>
        <v>-184.8</v>
      </c>
      <c r="I10" s="12">
        <f t="shared" ca="1" si="1"/>
        <v>-198</v>
      </c>
    </row>
    <row r="11" spans="1:16" x14ac:dyDescent="0.3">
      <c r="B11" s="1" t="s">
        <v>11</v>
      </c>
      <c r="G11" s="12">
        <f ca="1">-G7*G23</f>
        <v>-132</v>
      </c>
      <c r="H11" s="12">
        <f t="shared" ref="H11:I11" ca="1" si="2">-H7*H23</f>
        <v>-297</v>
      </c>
      <c r="I11" s="12">
        <f t="shared" ca="1" si="2"/>
        <v>-396</v>
      </c>
    </row>
    <row r="12" spans="1:16" x14ac:dyDescent="0.3">
      <c r="B12" s="3" t="s">
        <v>12</v>
      </c>
      <c r="G12" s="12">
        <f ca="1">SUM(G9:G11)</f>
        <v>-98.999999999999986</v>
      </c>
      <c r="H12" s="12">
        <f t="shared" ref="H12" ca="1" si="3">SUM(H9:H11)</f>
        <v>-105.60000000000002</v>
      </c>
      <c r="I12" s="12">
        <f ca="1">SUM(I9:I11)</f>
        <v>191.39999999999998</v>
      </c>
    </row>
    <row r="13" spans="1:16" x14ac:dyDescent="0.3">
      <c r="B13" s="1" t="s">
        <v>13</v>
      </c>
      <c r="G13" s="12">
        <v>0</v>
      </c>
      <c r="H13" s="12">
        <v>0</v>
      </c>
      <c r="I13" s="12">
        <v>0</v>
      </c>
      <c r="M13" s="1" t="s">
        <v>66</v>
      </c>
      <c r="N13" s="39">
        <f>G7</f>
        <v>220</v>
      </c>
      <c r="O13" s="39">
        <f t="shared" ref="O13:P13" ca="1" si="4">H7</f>
        <v>660</v>
      </c>
      <c r="P13" s="39">
        <f t="shared" ca="1" si="4"/>
        <v>1320</v>
      </c>
    </row>
    <row r="14" spans="1:16" x14ac:dyDescent="0.3">
      <c r="B14" s="3" t="s">
        <v>62</v>
      </c>
      <c r="G14" s="12">
        <f ca="1">SUM(G12:G13)</f>
        <v>-98.999999999999986</v>
      </c>
      <c r="H14" s="12">
        <f t="shared" ref="H14:I14" ca="1" si="5">SUM(H12:H13)</f>
        <v>-105.60000000000002</v>
      </c>
      <c r="I14" s="12">
        <f t="shared" ca="1" si="5"/>
        <v>191.39999999999998</v>
      </c>
    </row>
    <row r="15" spans="1:16" x14ac:dyDescent="0.3">
      <c r="B15" s="1" t="s">
        <v>14</v>
      </c>
      <c r="G15" s="12">
        <f t="shared" ref="G15:I15" ca="1" si="6">-MAX(G14*G24,0)</f>
        <v>0</v>
      </c>
      <c r="H15" s="12">
        <f t="shared" ca="1" si="6"/>
        <v>0</v>
      </c>
      <c r="I15" s="12">
        <f t="shared" ca="1" si="6"/>
        <v>-51.677999999999997</v>
      </c>
    </row>
    <row r="16" spans="1:16" x14ac:dyDescent="0.3">
      <c r="B16" s="3" t="s">
        <v>63</v>
      </c>
      <c r="G16" s="12">
        <f ca="1">SUM(G14:G15)</f>
        <v>-98.999999999999986</v>
      </c>
      <c r="H16" s="12">
        <f t="shared" ref="H16:I16" ca="1" si="7">SUM(H14:H15)</f>
        <v>-105.60000000000002</v>
      </c>
      <c r="I16" s="12">
        <f t="shared" ca="1" si="7"/>
        <v>139.72199999999998</v>
      </c>
    </row>
    <row r="19" spans="1:9" x14ac:dyDescent="0.3">
      <c r="B19" s="6" t="s">
        <v>16</v>
      </c>
    </row>
    <row r="20" spans="1:9" x14ac:dyDescent="0.3">
      <c r="B20" s="1" t="s">
        <v>17</v>
      </c>
      <c r="G20" s="29">
        <f ca="1">G92</f>
        <v>0</v>
      </c>
      <c r="H20" s="30">
        <f t="shared" ref="H20:I20" ca="1" si="8">H92</f>
        <v>2</v>
      </c>
      <c r="I20" s="31">
        <f t="shared" ca="1" si="8"/>
        <v>1</v>
      </c>
    </row>
    <row r="21" spans="1:9" x14ac:dyDescent="0.3">
      <c r="B21" s="1" t="s">
        <v>18</v>
      </c>
      <c r="G21" s="32">
        <f t="shared" ref="G21:I21" ca="1" si="9">G93</f>
        <v>0.55000000000000004</v>
      </c>
      <c r="H21" s="26">
        <f t="shared" ca="1" si="9"/>
        <v>0.56999999999999995</v>
      </c>
      <c r="I21" s="33">
        <f t="shared" ca="1" si="9"/>
        <v>0.59499999999999997</v>
      </c>
    </row>
    <row r="22" spans="1:9" x14ac:dyDescent="0.3">
      <c r="B22" s="1" t="s">
        <v>19</v>
      </c>
      <c r="G22" s="32">
        <f t="shared" ref="G22:I22" ca="1" si="10">G94</f>
        <v>0.4</v>
      </c>
      <c r="H22" s="26">
        <f t="shared" ca="1" si="10"/>
        <v>0.28000000000000003</v>
      </c>
      <c r="I22" s="33">
        <f t="shared" ca="1" si="10"/>
        <v>0.15</v>
      </c>
    </row>
    <row r="23" spans="1:9" x14ac:dyDescent="0.3">
      <c r="B23" s="1" t="s">
        <v>20</v>
      </c>
      <c r="G23" s="34">
        <f t="shared" ref="G23:I23" ca="1" si="11">G95</f>
        <v>0.6</v>
      </c>
      <c r="H23" s="35">
        <f t="shared" ca="1" si="11"/>
        <v>0.45</v>
      </c>
      <c r="I23" s="36">
        <f t="shared" ca="1" si="11"/>
        <v>0.3</v>
      </c>
    </row>
    <row r="24" spans="1:9" x14ac:dyDescent="0.3">
      <c r="B24" s="1" t="s">
        <v>21</v>
      </c>
      <c r="G24" s="11">
        <v>0.27</v>
      </c>
      <c r="H24" s="11">
        <v>0.27</v>
      </c>
      <c r="I24" s="11">
        <v>0.27</v>
      </c>
    </row>
    <row r="26" spans="1:9" ht="15" thickBot="1" x14ac:dyDescent="0.35">
      <c r="B26" s="7"/>
      <c r="C26" s="7"/>
      <c r="D26" s="7"/>
      <c r="E26" s="7"/>
      <c r="F26" s="7"/>
      <c r="G26" s="7"/>
      <c r="H26" s="7"/>
      <c r="I26" s="7"/>
    </row>
    <row r="27" spans="1:9" ht="15" thickTop="1" x14ac:dyDescent="0.3"/>
    <row r="29" spans="1:9" x14ac:dyDescent="0.3">
      <c r="A29" s="1" t="s">
        <v>58</v>
      </c>
      <c r="B29" s="3" t="s">
        <v>22</v>
      </c>
    </row>
    <row r="31" spans="1:9" x14ac:dyDescent="0.3">
      <c r="B31" s="5" t="s">
        <v>23</v>
      </c>
      <c r="C31" s="5"/>
      <c r="D31" s="5"/>
      <c r="E31" s="5"/>
      <c r="F31" s="5"/>
      <c r="G31" s="5" t="s">
        <v>0</v>
      </c>
      <c r="H31" s="5" t="s">
        <v>1</v>
      </c>
      <c r="I31" s="5" t="s">
        <v>2</v>
      </c>
    </row>
    <row r="33" spans="2:16" x14ac:dyDescent="0.3">
      <c r="B33" s="1" t="s">
        <v>24</v>
      </c>
      <c r="G33" s="13">
        <v>16</v>
      </c>
      <c r="H33" s="13">
        <v>42</v>
      </c>
      <c r="I33" s="13">
        <v>63</v>
      </c>
    </row>
    <row r="34" spans="2:16" x14ac:dyDescent="0.3">
      <c r="B34" s="1" t="s">
        <v>25</v>
      </c>
      <c r="G34" s="13">
        <v>8</v>
      </c>
      <c r="H34" s="13">
        <v>21</v>
      </c>
      <c r="I34" s="13">
        <v>31.5</v>
      </c>
    </row>
    <row r="35" spans="2:16" x14ac:dyDescent="0.3">
      <c r="B35" s="1" t="s">
        <v>26</v>
      </c>
      <c r="G35" s="13">
        <v>0</v>
      </c>
      <c r="H35" s="13">
        <v>0</v>
      </c>
      <c r="I35" s="13">
        <v>0</v>
      </c>
    </row>
    <row r="36" spans="2:16" x14ac:dyDescent="0.3">
      <c r="B36" s="1" t="s">
        <v>27</v>
      </c>
      <c r="G36" s="13">
        <v>15</v>
      </c>
      <c r="H36" s="13">
        <v>18</v>
      </c>
      <c r="I36" s="13">
        <v>20</v>
      </c>
    </row>
    <row r="37" spans="2:16" x14ac:dyDescent="0.3">
      <c r="B37" s="1" t="s">
        <v>64</v>
      </c>
      <c r="G37" s="16">
        <f>-G59</f>
        <v>-3</v>
      </c>
      <c r="H37" s="16">
        <f t="shared" ref="H37:I37" si="12">-H59</f>
        <v>-3.6</v>
      </c>
      <c r="I37" s="16">
        <f t="shared" si="12"/>
        <v>-4</v>
      </c>
    </row>
    <row r="38" spans="2:16" x14ac:dyDescent="0.3">
      <c r="B38" s="1" t="s">
        <v>28</v>
      </c>
      <c r="G38" s="13">
        <v>0</v>
      </c>
      <c r="H38" s="13">
        <v>0</v>
      </c>
      <c r="I38" s="13">
        <v>0</v>
      </c>
      <c r="O38" s="40"/>
      <c r="P38" s="41"/>
    </row>
    <row r="39" spans="2:16" x14ac:dyDescent="0.3">
      <c r="B39" s="3" t="s">
        <v>29</v>
      </c>
      <c r="G39" s="14">
        <f>SUM(G33:G38)</f>
        <v>36</v>
      </c>
      <c r="H39" s="14">
        <f t="shared" ref="H39:I39" si="13">SUM(H33:H38)</f>
        <v>77.400000000000006</v>
      </c>
      <c r="I39" s="14">
        <f t="shared" si="13"/>
        <v>110.5</v>
      </c>
    </row>
    <row r="40" spans="2:16" x14ac:dyDescent="0.3">
      <c r="G40" s="14"/>
      <c r="H40" s="14"/>
      <c r="I40" s="14"/>
    </row>
    <row r="41" spans="2:16" x14ac:dyDescent="0.3">
      <c r="B41" s="1" t="s">
        <v>30</v>
      </c>
      <c r="G41" s="13">
        <v>6.5</v>
      </c>
      <c r="H41" s="13">
        <v>17</v>
      </c>
      <c r="I41" s="13">
        <v>4.2699999999999996</v>
      </c>
    </row>
    <row r="42" spans="2:16" x14ac:dyDescent="0.3">
      <c r="B42" s="1" t="s">
        <v>31</v>
      </c>
      <c r="G42" s="13">
        <v>0</v>
      </c>
      <c r="H42" s="13">
        <v>0</v>
      </c>
      <c r="I42" s="13">
        <v>0</v>
      </c>
    </row>
    <row r="43" spans="2:16" x14ac:dyDescent="0.3">
      <c r="B43" s="1" t="s">
        <v>32</v>
      </c>
      <c r="G43" s="13">
        <v>0</v>
      </c>
      <c r="H43" s="13">
        <v>0</v>
      </c>
      <c r="I43" s="13">
        <v>0</v>
      </c>
    </row>
    <row r="44" spans="2:16" x14ac:dyDescent="0.3">
      <c r="B44" s="1" t="s">
        <v>33</v>
      </c>
      <c r="G44" s="13">
        <v>0</v>
      </c>
      <c r="H44" s="13">
        <v>0</v>
      </c>
      <c r="I44" s="13">
        <v>0</v>
      </c>
    </row>
    <row r="45" spans="2:16" x14ac:dyDescent="0.3">
      <c r="B45" s="3" t="s">
        <v>34</v>
      </c>
      <c r="G45" s="14">
        <f>SUM(G41:G44)</f>
        <v>6.5</v>
      </c>
      <c r="H45" s="14">
        <f t="shared" ref="H45:I45" si="14">SUM(H41:H44)</f>
        <v>17</v>
      </c>
      <c r="I45" s="14">
        <f t="shared" si="14"/>
        <v>4.2699999999999996</v>
      </c>
    </row>
    <row r="46" spans="2:16" x14ac:dyDescent="0.3">
      <c r="G46" s="14"/>
      <c r="H46" s="14"/>
      <c r="I46" s="14"/>
    </row>
    <row r="47" spans="2:16" x14ac:dyDescent="0.3">
      <c r="B47" s="1" t="s">
        <v>35</v>
      </c>
      <c r="G47" s="16">
        <f ca="1">G39-G45-G48</f>
        <v>128.5</v>
      </c>
      <c r="H47" s="16">
        <f ca="1">H39-H45-H48</f>
        <v>265</v>
      </c>
      <c r="I47" s="16">
        <f ca="1">I39-I45-I48</f>
        <v>171.10800000000006</v>
      </c>
    </row>
    <row r="48" spans="2:16" x14ac:dyDescent="0.3">
      <c r="B48" s="1" t="s">
        <v>36</v>
      </c>
      <c r="G48" s="14">
        <f ca="1">G16</f>
        <v>-98.999999999999986</v>
      </c>
      <c r="H48" s="14">
        <f ca="1">G48+H16</f>
        <v>-204.60000000000002</v>
      </c>
      <c r="I48" s="14">
        <f ca="1">H48+I16</f>
        <v>-64.878000000000043</v>
      </c>
    </row>
    <row r="49" spans="1:15" x14ac:dyDescent="0.3">
      <c r="B49" s="3" t="s">
        <v>37</v>
      </c>
      <c r="G49" s="14">
        <f ca="1">SUM(G47:G48)</f>
        <v>29.500000000000014</v>
      </c>
      <c r="H49" s="14">
        <f ca="1">SUM(H47:H48)</f>
        <v>60.399999999999977</v>
      </c>
      <c r="I49" s="14">
        <f ca="1">SUM(I47:I48)</f>
        <v>106.23000000000002</v>
      </c>
    </row>
    <row r="50" spans="1:15" x14ac:dyDescent="0.3">
      <c r="G50" s="14"/>
      <c r="H50" s="14"/>
      <c r="I50" s="14"/>
    </row>
    <row r="51" spans="1:15" ht="15" thickBot="1" x14ac:dyDescent="0.35">
      <c r="B51" s="8" t="s">
        <v>38</v>
      </c>
      <c r="C51" s="7"/>
      <c r="D51" s="7"/>
      <c r="E51" s="7"/>
      <c r="F51" s="7"/>
      <c r="G51" s="15">
        <f ca="1">SUM(G49+G45)</f>
        <v>36.000000000000014</v>
      </c>
      <c r="H51" s="15">
        <f ca="1">SUM(H49+H45)</f>
        <v>77.399999999999977</v>
      </c>
      <c r="I51" s="15">
        <f ca="1">SUM(I49+I45)</f>
        <v>110.50000000000001</v>
      </c>
    </row>
    <row r="52" spans="1:15" ht="15" thickTop="1" x14ac:dyDescent="0.3"/>
    <row r="53" spans="1:15" x14ac:dyDescent="0.3">
      <c r="O53" s="42"/>
    </row>
    <row r="54" spans="1:15" x14ac:dyDescent="0.3">
      <c r="A54" s="1" t="s">
        <v>58</v>
      </c>
      <c r="B54" s="3" t="s">
        <v>39</v>
      </c>
    </row>
    <row r="55" spans="1:15" x14ac:dyDescent="0.3">
      <c r="O55" s="43"/>
    </row>
    <row r="56" spans="1:15" x14ac:dyDescent="0.3">
      <c r="B56" s="5" t="s">
        <v>23</v>
      </c>
      <c r="C56" s="5"/>
      <c r="D56" s="5"/>
      <c r="E56" s="5"/>
      <c r="F56" s="5"/>
      <c r="G56" s="5" t="s">
        <v>0</v>
      </c>
      <c r="H56" s="5" t="s">
        <v>1</v>
      </c>
      <c r="I56" s="5" t="s">
        <v>2</v>
      </c>
    </row>
    <row r="58" spans="1:15" x14ac:dyDescent="0.3">
      <c r="B58" s="1" t="s">
        <v>15</v>
      </c>
      <c r="G58" s="14">
        <f ca="1">G16</f>
        <v>-98.999999999999986</v>
      </c>
      <c r="H58" s="14">
        <f ca="1">H48-G48</f>
        <v>-105.60000000000004</v>
      </c>
      <c r="I58" s="14">
        <f ca="1">I48-H48</f>
        <v>139.72199999999998</v>
      </c>
    </row>
    <row r="59" spans="1:15" x14ac:dyDescent="0.3">
      <c r="B59" s="1" t="s">
        <v>40</v>
      </c>
      <c r="G59" s="13">
        <f>0.2*G36</f>
        <v>3</v>
      </c>
      <c r="H59" s="13">
        <f>0.2*H36</f>
        <v>3.6</v>
      </c>
      <c r="I59" s="13">
        <f>0.2*I36</f>
        <v>4</v>
      </c>
    </row>
    <row r="60" spans="1:15" x14ac:dyDescent="0.3">
      <c r="B60" s="1" t="s">
        <v>41</v>
      </c>
      <c r="G60" s="14">
        <f>-(SUM(G34:G35)-SUM(G41:G42))</f>
        <v>-1.5</v>
      </c>
      <c r="H60" s="14">
        <f>(SUM(G34:G35)-SUM(G41:G42))-(SUM(H34:H35)-SUM(H41:H42))</f>
        <v>-2.5</v>
      </c>
      <c r="I60" s="14">
        <f>(SUM(H34:H35)-SUM(H41:H42))-(SUM(I34:I35)-SUM(I41:I42))</f>
        <v>-23.23</v>
      </c>
    </row>
    <row r="61" spans="1:15" x14ac:dyDescent="0.3">
      <c r="B61" s="1" t="s">
        <v>42</v>
      </c>
      <c r="G61" s="14">
        <v>0</v>
      </c>
      <c r="H61" s="14">
        <f>(G38-G44)-(H38-H44)</f>
        <v>0</v>
      </c>
      <c r="I61" s="14">
        <f>(H38-H44)-(I38-I44)</f>
        <v>0</v>
      </c>
    </row>
    <row r="62" spans="1:15" x14ac:dyDescent="0.3">
      <c r="B62" s="3" t="s">
        <v>43</v>
      </c>
      <c r="G62" s="14">
        <f t="shared" ref="G62:I62" ca="1" si="15">SUM(G58:G61)</f>
        <v>-97.499999999999986</v>
      </c>
      <c r="H62" s="14">
        <f t="shared" ca="1" si="15"/>
        <v>-104.50000000000004</v>
      </c>
      <c r="I62" s="14">
        <f t="shared" ca="1" si="15"/>
        <v>120.49199999999998</v>
      </c>
    </row>
    <row r="63" spans="1:15" x14ac:dyDescent="0.3">
      <c r="G63" s="14"/>
      <c r="H63" s="14"/>
      <c r="I63" s="14"/>
    </row>
    <row r="64" spans="1:15" x14ac:dyDescent="0.3">
      <c r="B64" s="1" t="s">
        <v>44</v>
      </c>
      <c r="G64" s="14">
        <f>-G36</f>
        <v>-15</v>
      </c>
      <c r="H64" s="14">
        <f>SUM(G36:G37)-H36</f>
        <v>-6</v>
      </c>
      <c r="I64" s="14">
        <f>SUM(H36:H37)-I36</f>
        <v>-5.6</v>
      </c>
    </row>
    <row r="65" spans="1:10" x14ac:dyDescent="0.3">
      <c r="B65" s="3" t="s">
        <v>45</v>
      </c>
      <c r="G65" s="14">
        <f>G64</f>
        <v>-15</v>
      </c>
      <c r="H65" s="14">
        <f>H64</f>
        <v>-6</v>
      </c>
      <c r="I65" s="14">
        <f>I64</f>
        <v>-5.6</v>
      </c>
    </row>
    <row r="66" spans="1:10" x14ac:dyDescent="0.3">
      <c r="G66" s="14"/>
      <c r="H66" s="14"/>
      <c r="I66" s="14"/>
    </row>
    <row r="67" spans="1:10" x14ac:dyDescent="0.3">
      <c r="B67" s="1" t="s">
        <v>32</v>
      </c>
      <c r="G67" s="14">
        <f>G43</f>
        <v>0</v>
      </c>
      <c r="H67" s="14">
        <f>H43-G43</f>
        <v>0</v>
      </c>
      <c r="I67" s="14">
        <f>I43-H43</f>
        <v>0</v>
      </c>
    </row>
    <row r="68" spans="1:10" x14ac:dyDescent="0.3">
      <c r="B68" s="1" t="s">
        <v>46</v>
      </c>
      <c r="G68" s="14">
        <f ca="1">G47</f>
        <v>128.5</v>
      </c>
      <c r="H68" s="14">
        <f ca="1">H47-G47</f>
        <v>136.5</v>
      </c>
      <c r="I68" s="14">
        <f ca="1">I47-H47</f>
        <v>-93.891999999999939</v>
      </c>
    </row>
    <row r="69" spans="1:10" x14ac:dyDescent="0.3">
      <c r="B69" s="3" t="s">
        <v>47</v>
      </c>
      <c r="G69" s="14">
        <f ca="1">SUM(G67:G68)</f>
        <v>128.5</v>
      </c>
      <c r="H69" s="14">
        <f ca="1">SUM(H67:H68)</f>
        <v>136.5</v>
      </c>
      <c r="I69" s="14">
        <f ca="1">SUM(I67:I68)</f>
        <v>-93.891999999999939</v>
      </c>
    </row>
    <row r="71" spans="1:10" ht="15" thickBot="1" x14ac:dyDescent="0.35">
      <c r="B71" s="8" t="s">
        <v>48</v>
      </c>
      <c r="C71" s="7"/>
      <c r="D71" s="7"/>
      <c r="E71" s="7"/>
      <c r="F71" s="7"/>
      <c r="G71" s="15">
        <f ca="1">SUM(G69,G65,G62)</f>
        <v>16.000000000000014</v>
      </c>
      <c r="H71" s="15">
        <f ca="1">SUM(G71,H69,H65,H62)</f>
        <v>41.999999999999957</v>
      </c>
      <c r="I71" s="15">
        <f ca="1">SUM(H71,I69,I65,I62)</f>
        <v>62.999999999999993</v>
      </c>
    </row>
    <row r="72" spans="1:10" ht="15" thickTop="1" x14ac:dyDescent="0.3"/>
    <row r="74" spans="1:10" x14ac:dyDescent="0.3">
      <c r="A74" s="1" t="s">
        <v>58</v>
      </c>
      <c r="B74" s="3" t="s">
        <v>50</v>
      </c>
    </row>
    <row r="75" spans="1:10" x14ac:dyDescent="0.3">
      <c r="H75" s="1" t="s">
        <v>54</v>
      </c>
    </row>
    <row r="76" spans="1:10" x14ac:dyDescent="0.3">
      <c r="E76" s="12">
        <f ca="1">I16</f>
        <v>139.72199999999998</v>
      </c>
      <c r="F76" s="21">
        <f>H76-10%</f>
        <v>0.9</v>
      </c>
      <c r="G76" s="19">
        <f>H76-5%</f>
        <v>0.95</v>
      </c>
      <c r="H76" s="18">
        <v>1</v>
      </c>
      <c r="I76" s="19">
        <f>H76+5%</f>
        <v>1.05</v>
      </c>
      <c r="J76" s="20">
        <f>H76+10%</f>
        <v>1.1000000000000001</v>
      </c>
    </row>
    <row r="77" spans="1:10" x14ac:dyDescent="0.3">
      <c r="E77" s="23">
        <f>E79-4%</f>
        <v>0.54999999999999993</v>
      </c>
      <c r="F77" s="14">
        <f t="dataTable" ref="F77:J81" dt2D="1" dtr="1" r1="I20" r2="I21" ca="1"/>
        <v>91.541999999999945</v>
      </c>
      <c r="G77" s="14">
        <v>93.950999999999993</v>
      </c>
      <c r="H77" s="14">
        <v>96.359999999999914</v>
      </c>
      <c r="I77" s="14">
        <v>98.76899999999992</v>
      </c>
      <c r="J77" s="14">
        <v>101.17799999999997</v>
      </c>
    </row>
    <row r="78" spans="1:10" x14ac:dyDescent="0.3">
      <c r="D78" s="1" t="s">
        <v>51</v>
      </c>
      <c r="E78" s="22">
        <f>E79-2%</f>
        <v>0.56999999999999995</v>
      </c>
      <c r="F78" s="14">
        <v>109.85039999999998</v>
      </c>
      <c r="G78" s="14">
        <v>112.74119999999999</v>
      </c>
      <c r="H78" s="14">
        <v>115.63199999999998</v>
      </c>
      <c r="I78" s="14">
        <v>118.52279999999996</v>
      </c>
      <c r="J78" s="14">
        <v>121.4136</v>
      </c>
    </row>
    <row r="79" spans="1:10" x14ac:dyDescent="0.3">
      <c r="D79" s="1" t="s">
        <v>52</v>
      </c>
      <c r="E79" s="17">
        <v>0.59</v>
      </c>
      <c r="F79" s="14">
        <v>128.15879999999999</v>
      </c>
      <c r="G79" s="14">
        <v>131.53140000000002</v>
      </c>
      <c r="H79" s="14">
        <v>134.90399999999997</v>
      </c>
      <c r="I79" s="14">
        <v>138.2766</v>
      </c>
      <c r="J79" s="14">
        <v>141.64920000000001</v>
      </c>
    </row>
    <row r="80" spans="1:10" x14ac:dyDescent="0.3">
      <c r="D80" s="1" t="s">
        <v>53</v>
      </c>
      <c r="E80" s="22">
        <f>E79+2%</f>
        <v>0.61</v>
      </c>
      <c r="F80" s="14">
        <v>146.46720000000002</v>
      </c>
      <c r="G80" s="14">
        <v>150.32160000000002</v>
      </c>
      <c r="H80" s="14">
        <v>154.17599999999993</v>
      </c>
      <c r="I80" s="14">
        <v>158.03039999999996</v>
      </c>
      <c r="J80" s="14">
        <v>161.88480000000004</v>
      </c>
    </row>
    <row r="81" spans="1:10" x14ac:dyDescent="0.3">
      <c r="E81" s="24">
        <f>E79+4%</f>
        <v>0.63</v>
      </c>
      <c r="F81" s="14">
        <v>164.77559999999997</v>
      </c>
      <c r="G81" s="14">
        <v>169.11180000000002</v>
      </c>
      <c r="H81" s="14">
        <v>173.44800000000001</v>
      </c>
      <c r="I81" s="14">
        <v>177.7842</v>
      </c>
      <c r="J81" s="14">
        <v>182.12039999999996</v>
      </c>
    </row>
    <row r="83" spans="1:10" ht="15" thickBot="1" x14ac:dyDescent="0.35">
      <c r="B83" s="7"/>
      <c r="C83" s="7"/>
      <c r="D83" s="7"/>
      <c r="E83" s="7"/>
      <c r="F83" s="7"/>
      <c r="G83" s="7"/>
      <c r="H83" s="7"/>
      <c r="I83" s="7"/>
    </row>
    <row r="84" spans="1:10" ht="15" thickTop="1" x14ac:dyDescent="0.3"/>
    <row r="86" spans="1:10" x14ac:dyDescent="0.3">
      <c r="A86" s="1" t="s">
        <v>58</v>
      </c>
      <c r="B86" s="3" t="s">
        <v>55</v>
      </c>
    </row>
    <row r="87" spans="1:10" ht="15" thickBot="1" x14ac:dyDescent="0.35"/>
    <row r="88" spans="1:10" ht="15" thickBot="1" x14ac:dyDescent="0.35">
      <c r="C88" s="1" t="s">
        <v>56</v>
      </c>
      <c r="E88" s="9" t="str">
        <f>L4</f>
        <v>Base case</v>
      </c>
    </row>
    <row r="91" spans="1:10" ht="43.8" customHeight="1" x14ac:dyDescent="0.3">
      <c r="F91" s="10" t="s">
        <v>57</v>
      </c>
      <c r="G91" s="5" t="s">
        <v>0</v>
      </c>
      <c r="H91" s="5" t="s">
        <v>1</v>
      </c>
      <c r="I91" s="5" t="s">
        <v>2</v>
      </c>
    </row>
    <row r="92" spans="1:10" x14ac:dyDescent="0.3">
      <c r="B92" s="1" t="s">
        <v>17</v>
      </c>
      <c r="F92" s="27">
        <f ca="1">OFFSET(F$97,MATCH($E$88,$B$98:$B$100,0)+MATCH($B92,$B$97:$B$112,0)-1,0)</f>
        <v>0</v>
      </c>
      <c r="G92" s="27">
        <f t="shared" ref="G92:I95" ca="1" si="16">OFFSET(G$97,MATCH($E$88,$B$98:$B$100,0)+MATCH($B92,$B$97:$B$112,0)-1,0)</f>
        <v>0</v>
      </c>
      <c r="H92" s="27">
        <f t="shared" ca="1" si="16"/>
        <v>2</v>
      </c>
      <c r="I92" s="27">
        <f t="shared" ca="1" si="16"/>
        <v>1</v>
      </c>
    </row>
    <row r="93" spans="1:10" x14ac:dyDescent="0.3">
      <c r="B93" s="1" t="s">
        <v>18</v>
      </c>
      <c r="F93" s="27">
        <f t="shared" ref="F93:F95" ca="1" si="17">OFFSET(F$97,MATCH($E$88,$B$98:$B$100,0)+MATCH($B93,$B$97:$B$112,0)-1,0)</f>
        <v>0</v>
      </c>
      <c r="G93" s="27">
        <f t="shared" ca="1" si="16"/>
        <v>0.55000000000000004</v>
      </c>
      <c r="H93" s="27">
        <f t="shared" ca="1" si="16"/>
        <v>0.56999999999999995</v>
      </c>
      <c r="I93" s="27">
        <f t="shared" ca="1" si="16"/>
        <v>0.59499999999999997</v>
      </c>
    </row>
    <row r="94" spans="1:10" x14ac:dyDescent="0.3">
      <c r="B94" s="1" t="s">
        <v>19</v>
      </c>
      <c r="F94" s="27">
        <f t="shared" ca="1" si="17"/>
        <v>0</v>
      </c>
      <c r="G94" s="27">
        <f t="shared" ca="1" si="16"/>
        <v>0.4</v>
      </c>
      <c r="H94" s="27">
        <f t="shared" ca="1" si="16"/>
        <v>0.28000000000000003</v>
      </c>
      <c r="I94" s="27">
        <f t="shared" ca="1" si="16"/>
        <v>0.15</v>
      </c>
    </row>
    <row r="95" spans="1:10" x14ac:dyDescent="0.3">
      <c r="B95" s="1" t="s">
        <v>20</v>
      </c>
      <c r="F95" s="27">
        <f t="shared" ca="1" si="17"/>
        <v>0</v>
      </c>
      <c r="G95" s="27">
        <f t="shared" ca="1" si="16"/>
        <v>0.6</v>
      </c>
      <c r="H95" s="27">
        <f t="shared" ca="1" si="16"/>
        <v>0.45</v>
      </c>
      <c r="I95" s="27">
        <f t="shared" ca="1" si="16"/>
        <v>0.3</v>
      </c>
    </row>
    <row r="97" spans="2:9" x14ac:dyDescent="0.3">
      <c r="B97" s="3" t="s">
        <v>17</v>
      </c>
    </row>
    <row r="98" spans="2:9" x14ac:dyDescent="0.3">
      <c r="B98" s="1" t="s">
        <v>59</v>
      </c>
      <c r="F98" s="25">
        <f>H98-H99</f>
        <v>0.10000000000000009</v>
      </c>
      <c r="G98" s="28">
        <v>0</v>
      </c>
      <c r="H98" s="25">
        <f>H99+10%</f>
        <v>2.1</v>
      </c>
      <c r="I98" s="25">
        <f>I99+10%</f>
        <v>1.1000000000000001</v>
      </c>
    </row>
    <row r="99" spans="2:9" x14ac:dyDescent="0.3">
      <c r="B99" s="1" t="s">
        <v>60</v>
      </c>
      <c r="F99" s="25">
        <v>0</v>
      </c>
      <c r="G99" s="26">
        <v>0</v>
      </c>
      <c r="H99" s="26">
        <v>2</v>
      </c>
      <c r="I99" s="26">
        <v>1</v>
      </c>
    </row>
    <row r="100" spans="2:9" x14ac:dyDescent="0.3">
      <c r="B100" s="1" t="s">
        <v>61</v>
      </c>
      <c r="F100" s="25">
        <f>H100-H99</f>
        <v>-0.10000000000000009</v>
      </c>
      <c r="G100" s="28">
        <v>0</v>
      </c>
      <c r="H100" s="25">
        <f>H99-10%</f>
        <v>1.9</v>
      </c>
      <c r="I100" s="25">
        <f>I99-10%</f>
        <v>0.9</v>
      </c>
    </row>
    <row r="101" spans="2:9" x14ac:dyDescent="0.3">
      <c r="B101" s="3" t="s">
        <v>18</v>
      </c>
    </row>
    <row r="102" spans="2:9" x14ac:dyDescent="0.3">
      <c r="B102" s="1" t="s">
        <v>59</v>
      </c>
      <c r="F102" s="25">
        <f>G102-G103</f>
        <v>3.0000000000000027E-2</v>
      </c>
      <c r="G102" s="25">
        <f>G103+3%</f>
        <v>0.58000000000000007</v>
      </c>
      <c r="H102" s="25">
        <f t="shared" ref="H102:I102" si="18">H103+3%</f>
        <v>0.6</v>
      </c>
      <c r="I102" s="25">
        <f t="shared" si="18"/>
        <v>0.625</v>
      </c>
    </row>
    <row r="103" spans="2:9" x14ac:dyDescent="0.3">
      <c r="B103" s="1" t="s">
        <v>60</v>
      </c>
      <c r="F103" s="25">
        <v>0</v>
      </c>
      <c r="G103" s="26">
        <v>0.55000000000000004</v>
      </c>
      <c r="H103" s="26">
        <v>0.56999999999999995</v>
      </c>
      <c r="I103" s="26">
        <v>0.59499999999999997</v>
      </c>
    </row>
    <row r="104" spans="2:9" x14ac:dyDescent="0.3">
      <c r="B104" s="1" t="s">
        <v>61</v>
      </c>
      <c r="F104" s="25">
        <f>G104-G103</f>
        <v>-3.0000000000000027E-2</v>
      </c>
      <c r="G104" s="25">
        <f>G103-3%</f>
        <v>0.52</v>
      </c>
      <c r="H104" s="25">
        <f t="shared" ref="H104:I104" si="19">H103-3%</f>
        <v>0.53999999999999992</v>
      </c>
      <c r="I104" s="25">
        <f t="shared" si="19"/>
        <v>0.56499999999999995</v>
      </c>
    </row>
    <row r="105" spans="2:9" x14ac:dyDescent="0.3">
      <c r="B105" s="3" t="s">
        <v>19</v>
      </c>
    </row>
    <row r="106" spans="2:9" x14ac:dyDescent="0.3">
      <c r="B106" s="1" t="s">
        <v>59</v>
      </c>
      <c r="F106" s="25">
        <f>G106-G107</f>
        <v>-2.0000000000000018E-2</v>
      </c>
      <c r="G106" s="25">
        <f>G107-2%</f>
        <v>0.38</v>
      </c>
      <c r="H106" s="25">
        <f t="shared" ref="H106:I106" si="20">H107-2%</f>
        <v>0.26</v>
      </c>
      <c r="I106" s="25">
        <f t="shared" si="20"/>
        <v>0.13</v>
      </c>
    </row>
    <row r="107" spans="2:9" x14ac:dyDescent="0.3">
      <c r="B107" s="1" t="s">
        <v>60</v>
      </c>
      <c r="F107" s="25">
        <v>0</v>
      </c>
      <c r="G107" s="26">
        <v>0.4</v>
      </c>
      <c r="H107" s="26">
        <v>0.28000000000000003</v>
      </c>
      <c r="I107" s="26">
        <v>0.15</v>
      </c>
    </row>
    <row r="108" spans="2:9" x14ac:dyDescent="0.3">
      <c r="B108" s="1" t="s">
        <v>61</v>
      </c>
      <c r="F108" s="25">
        <f>G108-G107</f>
        <v>2.0000000000000018E-2</v>
      </c>
      <c r="G108" s="25">
        <f>G107+2%</f>
        <v>0.42000000000000004</v>
      </c>
      <c r="H108" s="25">
        <f t="shared" ref="H108:I108" si="21">H107+2%</f>
        <v>0.30000000000000004</v>
      </c>
      <c r="I108" s="25">
        <f t="shared" si="21"/>
        <v>0.16999999999999998</v>
      </c>
    </row>
    <row r="109" spans="2:9" x14ac:dyDescent="0.3">
      <c r="B109" s="3" t="s">
        <v>20</v>
      </c>
    </row>
    <row r="110" spans="2:9" x14ac:dyDescent="0.3">
      <c r="B110" s="1" t="s">
        <v>59</v>
      </c>
      <c r="F110" s="25">
        <f>G110-G111</f>
        <v>-3.0000000000000027E-2</v>
      </c>
      <c r="G110" s="25">
        <f>G111-3%</f>
        <v>0.56999999999999995</v>
      </c>
      <c r="H110" s="25">
        <f t="shared" ref="H110:I110" si="22">H111-3%</f>
        <v>0.42000000000000004</v>
      </c>
      <c r="I110" s="25">
        <f t="shared" si="22"/>
        <v>0.27</v>
      </c>
    </row>
    <row r="111" spans="2:9" x14ac:dyDescent="0.3">
      <c r="B111" s="1" t="s">
        <v>60</v>
      </c>
      <c r="F111" s="25">
        <v>0</v>
      </c>
      <c r="G111" s="26">
        <v>0.6</v>
      </c>
      <c r="H111" s="26">
        <v>0.45</v>
      </c>
      <c r="I111" s="26">
        <v>0.3</v>
      </c>
    </row>
    <row r="112" spans="2:9" x14ac:dyDescent="0.3">
      <c r="B112" s="1" t="s">
        <v>61</v>
      </c>
      <c r="F112" s="25">
        <f>G112-G111</f>
        <v>3.0000000000000027E-2</v>
      </c>
      <c r="G112" s="25">
        <f>G111+3%</f>
        <v>0.63</v>
      </c>
      <c r="H112" s="25">
        <f t="shared" ref="H112:I112" si="23">H111+3%</f>
        <v>0.48</v>
      </c>
      <c r="I112" s="25">
        <f t="shared" si="23"/>
        <v>0.32999999999999996</v>
      </c>
    </row>
  </sheetData>
  <dataValidations count="1">
    <dataValidation type="list" allowBlank="1" showInputMessage="1" showErrorMessage="1" sqref="L4" xr:uid="{546B78AC-4A06-4984-A2D9-723026E4147F}">
      <formula1>$B$98:$B$100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statements-Complynt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LD</dc:creator>
  <cp:lastModifiedBy>Gokul LD</cp:lastModifiedBy>
  <dcterms:created xsi:type="dcterms:W3CDTF">2015-06-05T18:17:20Z</dcterms:created>
  <dcterms:modified xsi:type="dcterms:W3CDTF">2025-12-31T04:35:46Z</dcterms:modified>
</cp:coreProperties>
</file>